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9"/>
  <workbookPr/>
  <mc:AlternateContent xmlns:mc="http://schemas.openxmlformats.org/markup-compatibility/2006">
    <mc:Choice Requires="x15">
      <x15ac:absPath xmlns:x15ac="http://schemas.microsoft.com/office/spreadsheetml/2010/11/ac" url="\\192.168.100.120\g grdc\GRD Consultants\3 PVT LTD CO\RISKON IMF PRIVATE LTD\FY 25-26\"/>
    </mc:Choice>
  </mc:AlternateContent>
  <xr:revisionPtr revIDLastSave="0" documentId="13_ncr:1_{7352AF3A-25F6-4472-A217-A5B4E5ABE464}" xr6:coauthVersionLast="47" xr6:coauthVersionMax="47" xr10:uidLastSave="{00000000-0000-0000-0000-000000000000}"/>
  <bookViews>
    <workbookView xWindow="-110" yWindow="-110" windowWidth="19420" windowHeight="11020" tabRatio="500" xr2:uid="{00000000-000D-0000-FFFF-FFFF00000000}"/>
  </bookViews>
  <sheets>
    <sheet name="Tax Invoice" sheetId="1" r:id="rId1"/>
    <sheet name="Words" sheetId="2" state="hidden" r:id="rId2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33" i="1" l="1"/>
  <c r="E48" i="1"/>
  <c r="F23" i="1"/>
  <c r="F24" i="1"/>
  <c r="F25" i="1"/>
  <c r="F26" i="1"/>
  <c r="F27" i="1"/>
  <c r="F28" i="1"/>
  <c r="F29" i="1"/>
  <c r="F22" i="1"/>
  <c r="F21" i="1"/>
  <c r="F20" i="1"/>
  <c r="F30" i="1" l="1"/>
  <c r="F32" i="1" s="1"/>
  <c r="F35" i="1" l="1"/>
  <c r="F34" i="1"/>
  <c r="F36" i="1"/>
  <c r="A2" i="2" s="1"/>
  <c r="A3" i="2" s="1"/>
  <c r="B3" i="2" s="1"/>
  <c r="A4" i="2" l="1"/>
  <c r="A5" i="2" s="1"/>
  <c r="B5" i="2" s="1"/>
  <c r="A6" i="2" l="1"/>
  <c r="A8" i="2" s="1"/>
  <c r="A10" i="2" s="1"/>
  <c r="B10" i="2" s="1"/>
  <c r="A7" i="2" l="1"/>
  <c r="B7" i="2" s="1"/>
  <c r="A9" i="2"/>
  <c r="B9" i="2" s="1"/>
  <c r="C1" i="2" l="1"/>
  <c r="A37" i="1" s="1"/>
</calcChain>
</file>

<file path=xl/sharedStrings.xml><?xml version="1.0" encoding="utf-8"?>
<sst xmlns="http://schemas.openxmlformats.org/spreadsheetml/2006/main" count="94" uniqueCount="85">
  <si>
    <t>ORIGINAL COPY</t>
  </si>
  <si>
    <t>TAX INVOICE</t>
  </si>
  <si>
    <t>RISKON IMF PRIVATE LIMITED</t>
  </si>
  <si>
    <t>BG-513, Sanjay Gandhi, Transport Nagar</t>
  </si>
  <si>
    <t>Pehlad Pur, North West Delhi, New Delhi-110042</t>
  </si>
  <si>
    <t>GSTIN: 07AANCR6912L1ZU    Mob: 9810152753    Email: Info.riskoninsurance@gmail.com</t>
  </si>
  <si>
    <t>Invoice No.: RIPL/26-27/001</t>
  </si>
  <si>
    <t>Invoice Date : 26-10-2026</t>
  </si>
  <si>
    <t>Buyer (Bill to)</t>
  </si>
  <si>
    <t>Consignee(Ship to)</t>
  </si>
  <si>
    <t>Name</t>
  </si>
  <si>
    <t>IndusInd General Insurance Co. Ltd</t>
  </si>
  <si>
    <t>Address</t>
  </si>
  <si>
    <t>Vijaya Building, 14th Floor, Flat No. 10-15 &amp; 17</t>
  </si>
  <si>
    <t>Barakhamba Road, New Delhi - 110001</t>
  </si>
  <si>
    <t>State</t>
  </si>
  <si>
    <t>Delhi</t>
  </si>
  <si>
    <t>GSTIN/UIN</t>
  </si>
  <si>
    <t>07AABCR6747B1ZI</t>
  </si>
  <si>
    <t>S.No</t>
  </si>
  <si>
    <t>Description of Goods</t>
  </si>
  <si>
    <t>HSN/SAC</t>
  </si>
  <si>
    <t>Rate</t>
  </si>
  <si>
    <t>Qty/Unit</t>
  </si>
  <si>
    <t>Total Value</t>
  </si>
  <si>
    <t>IRDA Commission</t>
  </si>
  <si>
    <t>(20251210-5288-EOMM)</t>
  </si>
  <si>
    <t>(20260108-5440-EOMM)</t>
  </si>
  <si>
    <t>(20260209-5597-EOMM)</t>
  </si>
  <si>
    <t>(20260714-7411-EOMM)</t>
  </si>
  <si>
    <t>(20260916-1313-EOMM)</t>
  </si>
  <si>
    <t>(20260916-8198-EOMM)</t>
  </si>
  <si>
    <t>Total Value for Goods</t>
  </si>
  <si>
    <t>Add: Freight/Cartage</t>
  </si>
  <si>
    <t>Total Taxable Value of Goods &amp; Services</t>
  </si>
  <si>
    <t>IGST @18%</t>
  </si>
  <si>
    <t>CGST @ 9%</t>
  </si>
  <si>
    <t>SGST @ 9%</t>
  </si>
  <si>
    <t>Amount Chargeable (r/o)</t>
  </si>
  <si>
    <t>Terms and Conditions</t>
  </si>
  <si>
    <t>E. &amp; O.E.</t>
  </si>
  <si>
    <r>
      <t xml:space="preserve">1. We declare that this invoice shows the actual price of the
</t>
    </r>
    <r>
      <rPr>
        <sz val="8"/>
        <color rgb="FF000000"/>
        <rFont val="Arial"/>
        <family val="2"/>
      </rPr>
      <t xml:space="preserve">.  </t>
    </r>
    <r>
      <rPr>
        <sz val="12"/>
        <color rgb="FF000000"/>
        <rFont val="Arial"/>
        <family val="2"/>
      </rPr>
      <t xml:space="preserve">  goods described and that all particulars are true and correct.</t>
    </r>
  </si>
  <si>
    <t>2. Subject to 'Delhi' Jurisdiction Only</t>
  </si>
  <si>
    <t>3. Bank Details :</t>
  </si>
  <si>
    <t xml:space="preserve">   Bank Name: ICICI Bank (Tagore Garden)</t>
  </si>
  <si>
    <t xml:space="preserve">   A/C No: 335905001025</t>
  </si>
  <si>
    <t xml:space="preserve">   IFSC CODE: ICIC0003359</t>
  </si>
  <si>
    <t>Customer's/Receiver's Signature.</t>
  </si>
  <si>
    <t>Authorized Signatory</t>
  </si>
  <si>
    <t>Number to Words Helper (do not edit)</t>
  </si>
  <si>
    <t>Final Words:</t>
  </si>
  <si>
    <t>Amount (Rupees)</t>
  </si>
  <si>
    <t>Zero</t>
  </si>
  <si>
    <t>Twenty</t>
  </si>
  <si>
    <t>One</t>
  </si>
  <si>
    <t>Thirty</t>
  </si>
  <si>
    <t>Crore</t>
  </si>
  <si>
    <t>Two</t>
  </si>
  <si>
    <t>Forty</t>
  </si>
  <si>
    <t>Three</t>
  </si>
  <si>
    <t>Fifty</t>
  </si>
  <si>
    <t>Lakh</t>
  </si>
  <si>
    <t>Four</t>
  </si>
  <si>
    <t>Sixty</t>
  </si>
  <si>
    <t>Five</t>
  </si>
  <si>
    <t>Seventy</t>
  </si>
  <si>
    <t>Thousand</t>
  </si>
  <si>
    <t>Six</t>
  </si>
  <si>
    <t>Eighty</t>
  </si>
  <si>
    <t>Seven</t>
  </si>
  <si>
    <t>Ninety</t>
  </si>
  <si>
    <t>Hundred</t>
  </si>
  <si>
    <t>Eight</t>
  </si>
  <si>
    <t>Tens/Ones</t>
  </si>
  <si>
    <t>Nine</t>
  </si>
  <si>
    <t>Ten</t>
  </si>
  <si>
    <t>Eleven</t>
  </si>
  <si>
    <t>Twelve</t>
  </si>
  <si>
    <t>Thirteen</t>
  </si>
  <si>
    <t>Fourteen</t>
  </si>
  <si>
    <t>Fifteen</t>
  </si>
  <si>
    <t>Sixteen</t>
  </si>
  <si>
    <t>Seventeen</t>
  </si>
  <si>
    <t>Eighteen</t>
  </si>
  <si>
    <t>Nineteen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</si>
</sst>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* #,##0.00_ ;_ * \-#,##0.00_ ;_ * &quot;-&quot;??_ ;_ @_ "/>
  </numFmts>
  <fonts count="19">
    <font>
      <sz val="11"/>
      <color theme="1"/>
      <name val="Calibri"/>
      <family val="2"/>
      <charset val="1"/>
    </font>
    <font>
      <i/>
      <sz val="9"/>
      <color rgb="FF000000"/>
      <name val="Arial"/>
      <charset val="1"/>
    </font>
    <font>
      <b/>
      <sz val="14"/>
      <color rgb="FF000000"/>
      <name val="Arial"/>
      <charset val="1"/>
    </font>
    <font>
      <b/>
      <sz val="10"/>
      <name val="Arial"/>
      <charset val="1"/>
    </font>
    <font>
      <b/>
      <sz val="9"/>
      <name val="Arial"/>
      <charset val="1"/>
    </font>
    <font>
      <i/>
      <sz val="9"/>
      <name val="Arial"/>
      <charset val="1"/>
    </font>
    <font>
      <b/>
      <sz val="11"/>
      <color rgb="FF000000"/>
      <name val="Arial"/>
      <family val="2"/>
    </font>
    <font>
      <sz val="11"/>
      <color rgb="FF000000"/>
      <name val="Arial"/>
      <family val="2"/>
    </font>
    <font>
      <sz val="12"/>
      <color rgb="FF000000"/>
      <name val="Arial"/>
      <family val="2"/>
    </font>
    <font>
      <b/>
      <sz val="12"/>
      <color rgb="FF000000"/>
      <name val="Arial"/>
      <family val="2"/>
    </font>
    <font>
      <sz val="12"/>
      <color theme="1"/>
      <name val="Calibri"/>
      <family val="2"/>
      <charset val="1"/>
    </font>
    <font>
      <i/>
      <sz val="12"/>
      <color rgb="FF000000"/>
      <name val="Arial"/>
      <family val="2"/>
    </font>
    <font>
      <sz val="11"/>
      <color theme="1"/>
      <name val="Calibri"/>
      <family val="2"/>
      <charset val="1"/>
    </font>
    <font>
      <b/>
      <sz val="11"/>
      <name val="Arial"/>
      <family val="2"/>
    </font>
    <font>
      <sz val="8"/>
      <color rgb="FF000000"/>
      <name val="Arial"/>
      <family val="2"/>
    </font>
    <font>
      <sz val="11"/>
      <name val="Arial"/>
      <family val="2"/>
    </font>
    <font>
      <sz val="12"/>
      <name val="Arial"/>
      <family val="2"/>
    </font>
    <font>
      <b/>
      <u/>
      <sz val="22"/>
      <name val="Baskerville Old Face"/>
      <family val="1"/>
    </font>
    <font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C0C0C0"/>
      </patternFill>
    </fill>
  </fills>
  <borders count="29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/>
      <bottom/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indexed="64"/>
      </left>
      <right/>
      <top/>
      <bottom style="thin">
        <color auto="1"/>
      </bottom>
      <diagonal/>
    </border>
    <border>
      <left/>
      <right style="medium">
        <color indexed="64"/>
      </right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</borders>
  <cellStyleXfs count="2">
    <xf numFmtId="0" fontId="0" fillId="0" borderId="0"/>
    <xf numFmtId="164" fontId="12" fillId="0" borderId="0" applyFont="0" applyFill="0" applyBorder="0" applyAlignment="0" applyProtection="0"/>
  </cellStyleXfs>
  <cellXfs count="97">
    <xf numFmtId="0" fontId="0" fillId="0" borderId="0" xfId="0"/>
    <xf numFmtId="0" fontId="3" fillId="0" borderId="0" xfId="0" applyFont="1"/>
    <xf numFmtId="0" fontId="4" fillId="0" borderId="0" xfId="0" applyFont="1"/>
    <xf numFmtId="4" fontId="0" fillId="0" borderId="0" xfId="0" applyNumberFormat="1"/>
    <xf numFmtId="0" fontId="5" fillId="0" borderId="0" xfId="0" applyFont="1"/>
    <xf numFmtId="0" fontId="8" fillId="0" borderId="2" xfId="0" applyFont="1" applyBorder="1" applyAlignment="1">
      <alignment horizontal="center" vertical="center"/>
    </xf>
    <xf numFmtId="0" fontId="10" fillId="0" borderId="6" xfId="0" applyFont="1" applyBorder="1"/>
    <xf numFmtId="0" fontId="8" fillId="0" borderId="10" xfId="0" applyFont="1" applyBorder="1" applyAlignment="1">
      <alignment horizontal="center" vertical="center"/>
    </xf>
    <xf numFmtId="0" fontId="8" fillId="0" borderId="2" xfId="0" applyFont="1" applyBorder="1" applyAlignment="1">
      <alignment horizontal="left" vertical="center"/>
    </xf>
    <xf numFmtId="2" fontId="8" fillId="0" borderId="2" xfId="0" applyNumberFormat="1" applyFont="1" applyBorder="1" applyAlignment="1">
      <alignment horizontal="center" vertical="center"/>
    </xf>
    <xf numFmtId="0" fontId="10" fillId="0" borderId="11" xfId="0" applyFont="1" applyBorder="1"/>
    <xf numFmtId="0" fontId="10" fillId="0" borderId="12" xfId="0" applyFont="1" applyBorder="1"/>
    <xf numFmtId="0" fontId="0" fillId="0" borderId="0" xfId="0" applyAlignment="1">
      <alignment horizontal="left"/>
    </xf>
    <xf numFmtId="164" fontId="10" fillId="0" borderId="7" xfId="1" applyFont="1" applyBorder="1"/>
    <xf numFmtId="164" fontId="10" fillId="0" borderId="13" xfId="1" applyFont="1" applyBorder="1"/>
    <xf numFmtId="164" fontId="0" fillId="0" borderId="0" xfId="1" applyFont="1"/>
    <xf numFmtId="0" fontId="10" fillId="0" borderId="0" xfId="0" applyFont="1"/>
    <xf numFmtId="0" fontId="6" fillId="0" borderId="8" xfId="0" applyFont="1" applyBorder="1" applyAlignment="1">
      <alignment vertical="center"/>
    </xf>
    <xf numFmtId="0" fontId="9" fillId="2" borderId="16" xfId="0" applyFont="1" applyFill="1" applyBorder="1" applyAlignment="1">
      <alignment horizontal="center" vertical="center"/>
    </xf>
    <xf numFmtId="0" fontId="9" fillId="2" borderId="23" xfId="0" applyFont="1" applyFill="1" applyBorder="1" applyAlignment="1">
      <alignment horizontal="center" vertical="center"/>
    </xf>
    <xf numFmtId="0" fontId="10" fillId="0" borderId="13" xfId="0" applyFont="1" applyBorder="1"/>
    <xf numFmtId="0" fontId="7" fillId="0" borderId="1" xfId="0" applyFont="1" applyBorder="1" applyAlignment="1">
      <alignment vertical="center"/>
    </xf>
    <xf numFmtId="0" fontId="7" fillId="0" borderId="22" xfId="0" applyFont="1" applyBorder="1" applyAlignment="1">
      <alignment vertical="center"/>
    </xf>
    <xf numFmtId="0" fontId="9" fillId="0" borderId="8" xfId="0" applyFont="1" applyBorder="1" applyAlignment="1">
      <alignment vertical="center"/>
    </xf>
    <xf numFmtId="0" fontId="7" fillId="0" borderId="17" xfId="0" applyFont="1" applyBorder="1" applyAlignment="1">
      <alignment vertical="center"/>
    </xf>
    <xf numFmtId="0" fontId="18" fillId="0" borderId="2" xfId="0" applyFont="1" applyBorder="1" applyAlignment="1">
      <alignment horizontal="left" vertical="center"/>
    </xf>
    <xf numFmtId="0" fontId="1" fillId="0" borderId="3" xfId="0" applyFont="1" applyBorder="1" applyAlignment="1">
      <alignment horizontal="right" vertical="center"/>
    </xf>
    <xf numFmtId="0" fontId="1" fillId="0" borderId="4" xfId="0" applyFont="1" applyBorder="1" applyAlignment="1">
      <alignment horizontal="right" vertical="center"/>
    </xf>
    <xf numFmtId="0" fontId="1" fillId="0" borderId="5" xfId="0" applyFont="1" applyBorder="1" applyAlignment="1">
      <alignment horizontal="right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15" fillId="0" borderId="6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5" fillId="0" borderId="7" xfId="0" applyFont="1" applyBorder="1" applyAlignment="1">
      <alignment horizontal="center" vertical="center"/>
    </xf>
    <xf numFmtId="0" fontId="17" fillId="0" borderId="3" xfId="0" applyFont="1" applyBorder="1" applyAlignment="1">
      <alignment horizontal="center" vertical="center"/>
    </xf>
    <xf numFmtId="0" fontId="17" fillId="0" borderId="4" xfId="0" applyFont="1" applyBorder="1" applyAlignment="1">
      <alignment horizontal="center" vertical="center"/>
    </xf>
    <xf numFmtId="0" fontId="17" fillId="0" borderId="5" xfId="0" applyFont="1" applyBorder="1" applyAlignment="1">
      <alignment horizontal="center" vertical="center"/>
    </xf>
    <xf numFmtId="0" fontId="17" fillId="0" borderId="6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7" fillId="0" borderId="7" xfId="0" applyFont="1" applyBorder="1" applyAlignment="1">
      <alignment horizontal="center" vertical="center"/>
    </xf>
    <xf numFmtId="0" fontId="8" fillId="0" borderId="1" xfId="0" applyFont="1" applyBorder="1" applyAlignment="1">
      <alignment vertical="center"/>
    </xf>
    <xf numFmtId="0" fontId="8" fillId="0" borderId="22" xfId="0" applyFont="1" applyBorder="1" applyAlignment="1">
      <alignment vertical="center"/>
    </xf>
    <xf numFmtId="0" fontId="7" fillId="0" borderId="1" xfId="0" applyFont="1" applyBorder="1" applyAlignment="1">
      <alignment vertical="center"/>
    </xf>
    <xf numFmtId="0" fontId="7" fillId="0" borderId="17" xfId="0" applyFont="1" applyBorder="1" applyAlignment="1">
      <alignment vertical="center"/>
    </xf>
    <xf numFmtId="0" fontId="7" fillId="0" borderId="22" xfId="0" applyFont="1" applyBorder="1" applyAlignment="1">
      <alignment vertical="center"/>
    </xf>
    <xf numFmtId="0" fontId="16" fillId="0" borderId="19" xfId="0" applyFont="1" applyBorder="1" applyAlignment="1">
      <alignment horizontal="center" vertical="center"/>
    </xf>
    <xf numFmtId="0" fontId="16" fillId="0" borderId="20" xfId="0" applyFont="1" applyBorder="1" applyAlignment="1">
      <alignment horizontal="center" vertical="center"/>
    </xf>
    <xf numFmtId="0" fontId="16" fillId="0" borderId="21" xfId="0" applyFont="1" applyBorder="1" applyAlignment="1">
      <alignment horizontal="center" vertical="center"/>
    </xf>
    <xf numFmtId="0" fontId="9" fillId="2" borderId="24" xfId="0" applyFont="1" applyFill="1" applyBorder="1" applyAlignment="1">
      <alignment horizontal="center" vertical="center"/>
    </xf>
    <xf numFmtId="0" fontId="9" fillId="2" borderId="28" xfId="0" applyFont="1" applyFill="1" applyBorder="1" applyAlignment="1">
      <alignment horizontal="center" vertical="center"/>
    </xf>
    <xf numFmtId="164" fontId="8" fillId="0" borderId="1" xfId="1" applyFont="1" applyBorder="1" applyAlignment="1">
      <alignment horizontal="right" vertical="center"/>
    </xf>
    <xf numFmtId="164" fontId="8" fillId="0" borderId="9" xfId="1" applyFont="1" applyBorder="1" applyAlignment="1">
      <alignment horizontal="right" vertical="center"/>
    </xf>
    <xf numFmtId="0" fontId="9" fillId="0" borderId="8" xfId="0" applyFont="1" applyBorder="1" applyAlignment="1">
      <alignment horizontal="right" vertical="center"/>
    </xf>
    <xf numFmtId="0" fontId="9" fillId="0" borderId="1" xfId="0" applyFont="1" applyBorder="1" applyAlignment="1">
      <alignment horizontal="right" vertical="center"/>
    </xf>
    <xf numFmtId="164" fontId="9" fillId="0" borderId="1" xfId="1" applyFont="1" applyBorder="1" applyAlignment="1">
      <alignment horizontal="right" vertical="center"/>
    </xf>
    <xf numFmtId="164" fontId="9" fillId="0" borderId="9" xfId="1" applyFont="1" applyBorder="1" applyAlignment="1">
      <alignment horizontal="right" vertical="center"/>
    </xf>
    <xf numFmtId="0" fontId="8" fillId="0" borderId="8" xfId="0" applyFont="1" applyBorder="1" applyAlignment="1">
      <alignment horizontal="right" vertical="center"/>
    </xf>
    <xf numFmtId="0" fontId="8" fillId="0" borderId="1" xfId="0" applyFont="1" applyBorder="1" applyAlignment="1">
      <alignment horizontal="right" vertical="center"/>
    </xf>
    <xf numFmtId="0" fontId="13" fillId="0" borderId="8" xfId="0" applyFont="1" applyBorder="1" applyAlignment="1">
      <alignment horizontal="left" vertical="center" wrapText="1"/>
    </xf>
    <xf numFmtId="0" fontId="13" fillId="0" borderId="1" xfId="0" applyFont="1" applyBorder="1" applyAlignment="1">
      <alignment horizontal="left" vertical="center" wrapText="1"/>
    </xf>
    <xf numFmtId="0" fontId="13" fillId="0" borderId="9" xfId="0" applyFont="1" applyBorder="1" applyAlignment="1">
      <alignment horizontal="left" vertical="center" wrapText="1"/>
    </xf>
    <xf numFmtId="0" fontId="9" fillId="0" borderId="6" xfId="0" applyFont="1" applyBorder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9" fillId="0" borderId="7" xfId="0" applyFont="1" applyBorder="1" applyAlignment="1">
      <alignment horizontal="left" vertical="center"/>
    </xf>
    <xf numFmtId="0" fontId="11" fillId="0" borderId="6" xfId="0" applyFont="1" applyBorder="1" applyAlignment="1">
      <alignment horizontal="left" vertical="center"/>
    </xf>
    <xf numFmtId="0" fontId="11" fillId="0" borderId="0" xfId="0" applyFont="1" applyAlignment="1">
      <alignment horizontal="left" vertical="center"/>
    </xf>
    <xf numFmtId="0" fontId="11" fillId="0" borderId="7" xfId="0" applyFont="1" applyBorder="1" applyAlignment="1">
      <alignment horizontal="left" vertical="center"/>
    </xf>
    <xf numFmtId="0" fontId="9" fillId="0" borderId="0" xfId="0" applyFont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6" fillId="0" borderId="14" xfId="0" applyFont="1" applyBorder="1" applyAlignment="1">
      <alignment horizontal="left" vertical="top"/>
    </xf>
    <xf numFmtId="0" fontId="6" fillId="0" borderId="15" xfId="0" applyFont="1" applyBorder="1" applyAlignment="1">
      <alignment horizontal="left" vertical="top"/>
    </xf>
    <xf numFmtId="0" fontId="6" fillId="0" borderId="16" xfId="0" applyFont="1" applyBorder="1" applyAlignment="1">
      <alignment horizontal="left" vertical="top"/>
    </xf>
    <xf numFmtId="0" fontId="8" fillId="0" borderId="6" xfId="0" applyFont="1" applyBorder="1" applyAlignment="1">
      <alignment horizontal="left" vertical="center" wrapText="1"/>
    </xf>
    <xf numFmtId="0" fontId="8" fillId="0" borderId="0" xfId="0" applyFont="1" applyAlignment="1">
      <alignment horizontal="left" vertical="center"/>
    </xf>
    <xf numFmtId="0" fontId="8" fillId="0" borderId="7" xfId="0" applyFont="1" applyBorder="1" applyAlignment="1">
      <alignment horizontal="left" vertical="center"/>
    </xf>
    <xf numFmtId="0" fontId="8" fillId="0" borderId="6" xfId="0" applyFont="1" applyBorder="1" applyAlignment="1">
      <alignment horizontal="left" vertical="center"/>
    </xf>
    <xf numFmtId="0" fontId="9" fillId="0" borderId="8" xfId="0" applyFont="1" applyBorder="1" applyAlignment="1">
      <alignment horizontal="left" vertical="center"/>
    </xf>
    <xf numFmtId="0" fontId="9" fillId="0" borderId="18" xfId="0" applyFont="1" applyBorder="1" applyAlignment="1">
      <alignment horizontal="left" vertical="center"/>
    </xf>
    <xf numFmtId="0" fontId="8" fillId="0" borderId="1" xfId="0" applyFont="1" applyBorder="1" applyAlignment="1">
      <alignment horizontal="left" vertical="center"/>
    </xf>
    <xf numFmtId="0" fontId="8" fillId="0" borderId="9" xfId="0" applyFont="1" applyBorder="1" applyAlignment="1">
      <alignment horizontal="left" vertical="center"/>
    </xf>
    <xf numFmtId="0" fontId="9" fillId="0" borderId="3" xfId="0" applyFont="1" applyBorder="1" applyAlignment="1">
      <alignment horizontal="left" vertical="center"/>
    </xf>
    <xf numFmtId="0" fontId="9" fillId="0" borderId="4" xfId="0" applyFont="1" applyBorder="1" applyAlignment="1">
      <alignment horizontal="left" vertical="center"/>
    </xf>
    <xf numFmtId="0" fontId="9" fillId="0" borderId="5" xfId="0" applyFont="1" applyBorder="1" applyAlignment="1">
      <alignment horizontal="left" vertical="center"/>
    </xf>
    <xf numFmtId="0" fontId="9" fillId="0" borderId="26" xfId="0" applyFont="1" applyBorder="1" applyAlignment="1">
      <alignment horizontal="left" vertical="center"/>
    </xf>
    <xf numFmtId="0" fontId="9" fillId="0" borderId="25" xfId="0" applyFont="1" applyBorder="1" applyAlignment="1">
      <alignment horizontal="left" vertical="center"/>
    </xf>
    <xf numFmtId="0" fontId="9" fillId="0" borderId="27" xfId="0" applyFont="1" applyBorder="1" applyAlignment="1">
      <alignment horizontal="left" vertical="center"/>
    </xf>
    <xf numFmtId="0" fontId="9" fillId="0" borderId="17" xfId="0" applyFont="1" applyBorder="1" applyAlignment="1">
      <alignment horizontal="left" vertical="center"/>
    </xf>
    <xf numFmtId="0" fontId="9" fillId="0" borderId="22" xfId="0" applyFont="1" applyBorder="1" applyAlignment="1">
      <alignment horizontal="left" vertical="center"/>
    </xf>
    <xf numFmtId="0" fontId="9" fillId="0" borderId="8" xfId="0" applyFont="1" applyBorder="1" applyAlignment="1">
      <alignment vertical="center"/>
    </xf>
    <xf numFmtId="0" fontId="9" fillId="0" borderId="17" xfId="0" applyFont="1" applyBorder="1" applyAlignment="1">
      <alignment vertical="center"/>
    </xf>
    <xf numFmtId="0" fontId="9" fillId="0" borderId="22" xfId="0" applyFont="1" applyBorder="1" applyAlignment="1">
      <alignment vertical="center"/>
    </xf>
    <xf numFmtId="0" fontId="7" fillId="0" borderId="1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22" xfId="0" applyFont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53"/>
  <sheetViews>
    <sheetView showGridLines="0" tabSelected="1" zoomScaleNormal="100" workbookViewId="0">
      <selection activeCell="I10" sqref="I10"/>
    </sheetView>
  </sheetViews>
  <sheetFormatPr defaultColWidth="8.5703125" defaultRowHeight="14.45"/>
  <cols>
    <col min="1" max="1" width="12.140625" bestFit="1" customWidth="1"/>
    <col min="2" max="2" width="35.28515625" customWidth="1"/>
    <col min="3" max="3" width="11.42578125" customWidth="1"/>
    <col min="4" max="4" width="11.7109375" customWidth="1"/>
    <col min="5" max="5" width="16.5703125" customWidth="1"/>
    <col min="6" max="6" width="13" customWidth="1"/>
    <col min="7" max="7" width="14.5703125" style="15" customWidth="1"/>
  </cols>
  <sheetData>
    <row r="1" spans="1:7" ht="15.75" customHeight="1" thickBot="1">
      <c r="A1" s="26" t="s">
        <v>0</v>
      </c>
      <c r="B1" s="27"/>
      <c r="C1" s="27"/>
      <c r="D1" s="27"/>
      <c r="E1" s="27"/>
      <c r="F1" s="27"/>
      <c r="G1" s="28"/>
    </row>
    <row r="2" spans="1:7" ht="15.6" customHeight="1" thickBot="1">
      <c r="A2" s="29" t="s">
        <v>1</v>
      </c>
      <c r="B2" s="30"/>
      <c r="C2" s="30"/>
      <c r="D2" s="30"/>
      <c r="E2" s="30"/>
      <c r="F2" s="30"/>
      <c r="G2" s="31"/>
    </row>
    <row r="3" spans="1:7" ht="18.600000000000001" customHeight="1">
      <c r="A3" s="35" t="s">
        <v>2</v>
      </c>
      <c r="B3" s="36"/>
      <c r="C3" s="36"/>
      <c r="D3" s="36"/>
      <c r="E3" s="36"/>
      <c r="F3" s="36"/>
      <c r="G3" s="37"/>
    </row>
    <row r="4" spans="1:7" ht="9.6" customHeight="1">
      <c r="A4" s="38"/>
      <c r="B4" s="39"/>
      <c r="C4" s="39"/>
      <c r="D4" s="39"/>
      <c r="E4" s="39"/>
      <c r="F4" s="39"/>
      <c r="G4" s="40"/>
    </row>
    <row r="5" spans="1:7" ht="15.75" customHeight="1">
      <c r="A5" s="32" t="s">
        <v>3</v>
      </c>
      <c r="B5" s="33"/>
      <c r="C5" s="33"/>
      <c r="D5" s="33"/>
      <c r="E5" s="33"/>
      <c r="F5" s="33"/>
      <c r="G5" s="34"/>
    </row>
    <row r="6" spans="1:7" ht="15.75" customHeight="1" thickBot="1">
      <c r="A6" s="32" t="s">
        <v>4</v>
      </c>
      <c r="B6" s="33"/>
      <c r="C6" s="33"/>
      <c r="D6" s="33"/>
      <c r="E6" s="33"/>
      <c r="F6" s="33"/>
      <c r="G6" s="34"/>
    </row>
    <row r="7" spans="1:7" ht="15.75" customHeight="1" thickBot="1">
      <c r="A7" s="46" t="s">
        <v>5</v>
      </c>
      <c r="B7" s="47"/>
      <c r="C7" s="47"/>
      <c r="D7" s="47"/>
      <c r="E7" s="47"/>
      <c r="F7" s="47"/>
      <c r="G7" s="48"/>
    </row>
    <row r="8" spans="1:7" ht="15.6" customHeight="1">
      <c r="A8" s="83" t="s">
        <v>6</v>
      </c>
      <c r="B8" s="84"/>
      <c r="C8" s="85"/>
      <c r="D8" s="83" t="s">
        <v>7</v>
      </c>
      <c r="E8" s="84"/>
      <c r="F8" s="84"/>
      <c r="G8" s="85"/>
    </row>
    <row r="9" spans="1:7" ht="6.95" customHeight="1">
      <c r="A9" s="86"/>
      <c r="B9" s="87"/>
      <c r="C9" s="88"/>
      <c r="D9" s="86"/>
      <c r="E9" s="87"/>
      <c r="F9" s="87"/>
      <c r="G9" s="88"/>
    </row>
    <row r="10" spans="1:7" ht="15.6">
      <c r="A10" s="79" t="s">
        <v>8</v>
      </c>
      <c r="B10" s="89"/>
      <c r="C10" s="90"/>
      <c r="D10" s="91" t="s">
        <v>9</v>
      </c>
      <c r="E10" s="92"/>
      <c r="F10" s="92"/>
      <c r="G10" s="93"/>
    </row>
    <row r="11" spans="1:7">
      <c r="A11" s="17" t="s">
        <v>10</v>
      </c>
      <c r="B11" s="43" t="s">
        <v>11</v>
      </c>
      <c r="C11" s="45"/>
      <c r="D11" s="17" t="s">
        <v>10</v>
      </c>
      <c r="E11" s="43" t="s">
        <v>11</v>
      </c>
      <c r="F11" s="44"/>
      <c r="G11" s="45"/>
    </row>
    <row r="12" spans="1:7">
      <c r="A12" s="72" t="s">
        <v>12</v>
      </c>
      <c r="B12" s="43" t="s">
        <v>13</v>
      </c>
      <c r="C12" s="45"/>
      <c r="D12" s="72" t="s">
        <v>12</v>
      </c>
      <c r="E12" s="43" t="s">
        <v>13</v>
      </c>
      <c r="F12" s="44"/>
      <c r="G12" s="45"/>
    </row>
    <row r="13" spans="1:7">
      <c r="A13" s="73"/>
      <c r="B13" s="43" t="s">
        <v>14</v>
      </c>
      <c r="C13" s="45"/>
      <c r="D13" s="73"/>
      <c r="E13" s="43" t="s">
        <v>14</v>
      </c>
      <c r="F13" s="44"/>
      <c r="G13" s="45"/>
    </row>
    <row r="14" spans="1:7">
      <c r="A14" s="73"/>
      <c r="B14" s="21"/>
      <c r="C14" s="22"/>
      <c r="D14" s="73"/>
      <c r="E14" s="21"/>
      <c r="F14" s="24"/>
      <c r="G14" s="22"/>
    </row>
    <row r="15" spans="1:7">
      <c r="A15" s="74"/>
      <c r="B15" s="43"/>
      <c r="C15" s="45"/>
      <c r="D15" s="74"/>
      <c r="E15" s="94"/>
      <c r="F15" s="95"/>
      <c r="G15" s="96"/>
    </row>
    <row r="16" spans="1:7" ht="15.6">
      <c r="A16" s="23" t="s">
        <v>15</v>
      </c>
      <c r="B16" s="41" t="s">
        <v>16</v>
      </c>
      <c r="C16" s="42"/>
      <c r="D16" s="79" t="s">
        <v>15</v>
      </c>
      <c r="E16" s="80"/>
      <c r="F16" s="81" t="s">
        <v>16</v>
      </c>
      <c r="G16" s="82"/>
    </row>
    <row r="17" spans="1:7" ht="15.6">
      <c r="A17" s="23" t="s">
        <v>17</v>
      </c>
      <c r="B17" s="41" t="s">
        <v>18</v>
      </c>
      <c r="C17" s="42"/>
      <c r="D17" s="79" t="s">
        <v>17</v>
      </c>
      <c r="E17" s="80"/>
      <c r="F17" s="81" t="s">
        <v>18</v>
      </c>
      <c r="G17" s="82"/>
    </row>
    <row r="18" spans="1:7" ht="5.0999999999999996" customHeight="1" thickBot="1">
      <c r="A18" s="10"/>
      <c r="B18" s="11"/>
      <c r="C18" s="20"/>
      <c r="D18" s="10"/>
      <c r="E18" s="11"/>
      <c r="F18" s="11"/>
      <c r="G18" s="14"/>
    </row>
    <row r="19" spans="1:7" s="12" customFormat="1" ht="15.6">
      <c r="A19" s="18" t="s">
        <v>19</v>
      </c>
      <c r="B19" s="19" t="s">
        <v>20</v>
      </c>
      <c r="C19" s="19" t="s">
        <v>21</v>
      </c>
      <c r="D19" s="19" t="s">
        <v>22</v>
      </c>
      <c r="E19" s="19" t="s">
        <v>23</v>
      </c>
      <c r="F19" s="49" t="s">
        <v>24</v>
      </c>
      <c r="G19" s="50"/>
    </row>
    <row r="20" spans="1:7" s="16" customFormat="1" ht="15.6">
      <c r="A20" s="7">
        <v>1</v>
      </c>
      <c r="B20" s="8" t="s">
        <v>25</v>
      </c>
      <c r="C20" s="5">
        <v>997161</v>
      </c>
      <c r="D20" s="9">
        <v>1</v>
      </c>
      <c r="E20" s="5">
        <v>8853.5300000000007</v>
      </c>
      <c r="F20" s="51">
        <f t="shared" ref="F20:F29" si="0">D20*E20</f>
        <v>8853.5300000000007</v>
      </c>
      <c r="G20" s="52"/>
    </row>
    <row r="21" spans="1:7" ht="15.6">
      <c r="A21" s="7"/>
      <c r="B21" s="25" t="s">
        <v>26</v>
      </c>
      <c r="C21" s="5"/>
      <c r="D21" s="9"/>
      <c r="E21" s="5"/>
      <c r="F21" s="51">
        <f t="shared" si="0"/>
        <v>0</v>
      </c>
      <c r="G21" s="52"/>
    </row>
    <row r="22" spans="1:7" ht="15.6">
      <c r="A22" s="7"/>
      <c r="B22" s="25" t="s">
        <v>27</v>
      </c>
      <c r="C22" s="5"/>
      <c r="D22" s="9"/>
      <c r="E22" s="5"/>
      <c r="F22" s="51">
        <f t="shared" si="0"/>
        <v>0</v>
      </c>
      <c r="G22" s="52"/>
    </row>
    <row r="23" spans="1:7" ht="15.6">
      <c r="A23" s="7"/>
      <c r="B23" s="25" t="s">
        <v>28</v>
      </c>
      <c r="C23" s="5"/>
      <c r="D23" s="9"/>
      <c r="E23" s="5"/>
      <c r="F23" s="51">
        <f t="shared" si="0"/>
        <v>0</v>
      </c>
      <c r="G23" s="52"/>
    </row>
    <row r="24" spans="1:7" ht="15.6">
      <c r="A24" s="7"/>
      <c r="B24" s="25" t="s">
        <v>29</v>
      </c>
      <c r="C24" s="5"/>
      <c r="D24" s="9"/>
      <c r="E24" s="5"/>
      <c r="F24" s="51">
        <f t="shared" si="0"/>
        <v>0</v>
      </c>
      <c r="G24" s="52"/>
    </row>
    <row r="25" spans="1:7" ht="15.6">
      <c r="A25" s="7"/>
      <c r="B25" s="25" t="s">
        <v>30</v>
      </c>
      <c r="C25" s="5"/>
      <c r="D25" s="9"/>
      <c r="E25" s="5"/>
      <c r="F25" s="51">
        <f t="shared" si="0"/>
        <v>0</v>
      </c>
      <c r="G25" s="52"/>
    </row>
    <row r="26" spans="1:7" ht="15.6">
      <c r="A26" s="7"/>
      <c r="B26" s="25" t="s">
        <v>31</v>
      </c>
      <c r="C26" s="5"/>
      <c r="D26" s="9"/>
      <c r="E26" s="5"/>
      <c r="F26" s="51">
        <f t="shared" si="0"/>
        <v>0</v>
      </c>
      <c r="G26" s="52"/>
    </row>
    <row r="27" spans="1:7" ht="15.6">
      <c r="A27" s="7"/>
      <c r="B27" s="8"/>
      <c r="C27" s="5"/>
      <c r="D27" s="9"/>
      <c r="E27" s="5"/>
      <c r="F27" s="51">
        <f t="shared" si="0"/>
        <v>0</v>
      </c>
      <c r="G27" s="52"/>
    </row>
    <row r="28" spans="1:7" ht="15.6">
      <c r="A28" s="7"/>
      <c r="B28" s="8"/>
      <c r="C28" s="5"/>
      <c r="D28" s="9"/>
      <c r="E28" s="5"/>
      <c r="F28" s="51">
        <f t="shared" si="0"/>
        <v>0</v>
      </c>
      <c r="G28" s="52"/>
    </row>
    <row r="29" spans="1:7" ht="15.6">
      <c r="A29" s="7"/>
      <c r="B29" s="8"/>
      <c r="C29" s="5"/>
      <c r="D29" s="9"/>
      <c r="E29" s="5"/>
      <c r="F29" s="51">
        <f t="shared" si="0"/>
        <v>0</v>
      </c>
      <c r="G29" s="52"/>
    </row>
    <row r="30" spans="1:7" ht="15.6">
      <c r="A30" s="53" t="s">
        <v>32</v>
      </c>
      <c r="B30" s="54"/>
      <c r="C30" s="54"/>
      <c r="D30" s="54"/>
      <c r="E30" s="54"/>
      <c r="F30" s="55">
        <f>SUM(F20:F29)</f>
        <v>8853.5300000000007</v>
      </c>
      <c r="G30" s="56"/>
    </row>
    <row r="31" spans="1:7" ht="15.6">
      <c r="A31" s="57" t="s">
        <v>33</v>
      </c>
      <c r="B31" s="58"/>
      <c r="C31" s="58"/>
      <c r="D31" s="58"/>
      <c r="E31" s="58"/>
      <c r="F31" s="51">
        <v>0</v>
      </c>
      <c r="G31" s="52"/>
    </row>
    <row r="32" spans="1:7" ht="15.6">
      <c r="A32" s="53" t="s">
        <v>34</v>
      </c>
      <c r="B32" s="54"/>
      <c r="C32" s="54"/>
      <c r="D32" s="54"/>
      <c r="E32" s="54"/>
      <c r="F32" s="55">
        <f>F30+F31</f>
        <v>8853.5300000000007</v>
      </c>
      <c r="G32" s="56"/>
    </row>
    <row r="33" spans="1:7" ht="15.6">
      <c r="A33" s="57" t="s">
        <v>35</v>
      </c>
      <c r="B33" s="58"/>
      <c r="C33" s="58"/>
      <c r="D33" s="58"/>
      <c r="E33" s="58"/>
      <c r="F33" s="51">
        <f>IF(B16&lt;&gt;"Delhi", F32*18%, 0)</f>
        <v>0</v>
      </c>
      <c r="G33" s="52"/>
    </row>
    <row r="34" spans="1:7" ht="15.6">
      <c r="A34" s="57" t="s">
        <v>36</v>
      </c>
      <c r="B34" s="58"/>
      <c r="C34" s="58"/>
      <c r="D34" s="58"/>
      <c r="E34" s="58"/>
      <c r="F34" s="51">
        <f>IF(B16="Delhi", F32*9%, 0)</f>
        <v>796.81770000000006</v>
      </c>
      <c r="G34" s="52"/>
    </row>
    <row r="35" spans="1:7" ht="15.6">
      <c r="A35" s="57" t="s">
        <v>37</v>
      </c>
      <c r="B35" s="58"/>
      <c r="C35" s="58"/>
      <c r="D35" s="58"/>
      <c r="E35" s="58"/>
      <c r="F35" s="51">
        <f>IF(B16="Delhi", F32*9%, 0)</f>
        <v>796.81770000000006</v>
      </c>
      <c r="G35" s="52"/>
    </row>
    <row r="36" spans="1:7" ht="15.6">
      <c r="A36" s="53" t="s">
        <v>38</v>
      </c>
      <c r="B36" s="54"/>
      <c r="C36" s="54"/>
      <c r="D36" s="54"/>
      <c r="E36" s="54"/>
      <c r="F36" s="55">
        <f>ROUND(F32+F34+F35+F33,0)</f>
        <v>10447</v>
      </c>
      <c r="G36" s="56"/>
    </row>
    <row r="37" spans="1:7">
      <c r="A37" s="59" t="str">
        <f>"Rupees in Words : "&amp;Words!C1</f>
        <v>Rupees in Words : Ten Thousand Four Hundred Forty Seven Only</v>
      </c>
      <c r="B37" s="60"/>
      <c r="C37" s="60"/>
      <c r="D37" s="60"/>
      <c r="E37" s="60"/>
      <c r="F37" s="60"/>
      <c r="G37" s="61"/>
    </row>
    <row r="38" spans="1:7" ht="15.6">
      <c r="A38" s="6"/>
      <c r="B38" s="16"/>
      <c r="C38" s="16"/>
      <c r="D38" s="16"/>
      <c r="E38" s="16"/>
      <c r="F38" s="16"/>
      <c r="G38" s="13"/>
    </row>
    <row r="39" spans="1:7" ht="15.6">
      <c r="A39" s="62" t="s">
        <v>39</v>
      </c>
      <c r="B39" s="63"/>
      <c r="C39" s="63"/>
      <c r="D39" s="63"/>
      <c r="E39" s="63"/>
      <c r="F39" s="63"/>
      <c r="G39" s="64"/>
    </row>
    <row r="40" spans="1:7" ht="15.6">
      <c r="A40" s="65" t="s">
        <v>40</v>
      </c>
      <c r="B40" s="66"/>
      <c r="C40" s="66"/>
      <c r="D40" s="66"/>
      <c r="E40" s="66"/>
      <c r="F40" s="66"/>
      <c r="G40" s="67"/>
    </row>
    <row r="41" spans="1:7" ht="43.5" customHeight="1">
      <c r="A41" s="75" t="s">
        <v>41</v>
      </c>
      <c r="B41" s="76"/>
      <c r="C41" s="76"/>
      <c r="D41" s="76"/>
      <c r="E41" s="76"/>
      <c r="F41" s="76"/>
      <c r="G41" s="77"/>
    </row>
    <row r="42" spans="1:7" ht="21.6" customHeight="1">
      <c r="A42" s="78" t="s">
        <v>42</v>
      </c>
      <c r="B42" s="76"/>
      <c r="C42" s="76"/>
      <c r="D42" s="76"/>
      <c r="E42" s="76"/>
      <c r="F42" s="76"/>
      <c r="G42" s="77"/>
    </row>
    <row r="43" spans="1:7" ht="22.5" customHeight="1">
      <c r="A43" s="62" t="s">
        <v>43</v>
      </c>
      <c r="B43" s="63"/>
      <c r="C43" s="63"/>
      <c r="D43" s="63"/>
      <c r="E43" s="63"/>
      <c r="F43" s="63"/>
      <c r="G43" s="64"/>
    </row>
    <row r="44" spans="1:7" ht="15.6">
      <c r="A44" s="62" t="s">
        <v>44</v>
      </c>
      <c r="B44" s="63"/>
      <c r="C44" s="63"/>
      <c r="D44" s="63"/>
      <c r="E44" s="63"/>
      <c r="F44" s="63"/>
      <c r="G44" s="64"/>
    </row>
    <row r="45" spans="1:7" ht="15.6">
      <c r="A45" s="62" t="s">
        <v>45</v>
      </c>
      <c r="B45" s="63"/>
      <c r="C45" s="63"/>
      <c r="D45" s="63"/>
      <c r="E45" s="63"/>
      <c r="F45" s="63"/>
      <c r="G45" s="64"/>
    </row>
    <row r="46" spans="1:7" ht="15.6">
      <c r="A46" s="62" t="s">
        <v>46</v>
      </c>
      <c r="B46" s="63"/>
      <c r="C46" s="63"/>
      <c r="D46" s="63"/>
      <c r="E46" s="63"/>
      <c r="F46" s="63"/>
      <c r="G46" s="64"/>
    </row>
    <row r="47" spans="1:7" ht="15.6">
      <c r="A47" s="6"/>
      <c r="B47" s="16"/>
      <c r="C47" s="16"/>
      <c r="D47" s="16"/>
      <c r="E47" s="16"/>
      <c r="F47" s="16"/>
      <c r="G47" s="13"/>
    </row>
    <row r="48" spans="1:7" ht="15.6">
      <c r="A48" s="62" t="s">
        <v>47</v>
      </c>
      <c r="B48" s="63"/>
      <c r="C48" s="63"/>
      <c r="D48" s="16"/>
      <c r="E48" s="68" t="str">
        <f>A3</f>
        <v>RISKON IMF PRIVATE LIMITED</v>
      </c>
      <c r="F48" s="68"/>
      <c r="G48" s="69"/>
    </row>
    <row r="49" spans="1:7" ht="15.6">
      <c r="A49" s="6"/>
      <c r="B49" s="16"/>
      <c r="C49" s="16"/>
      <c r="D49" s="16"/>
      <c r="E49" s="16"/>
      <c r="F49" s="16"/>
      <c r="G49" s="13"/>
    </row>
    <row r="50" spans="1:7" ht="15.6">
      <c r="A50" s="6"/>
      <c r="B50" s="16"/>
      <c r="C50" s="16"/>
      <c r="D50" s="16"/>
      <c r="E50" s="16"/>
      <c r="F50" s="16"/>
      <c r="G50" s="13"/>
    </row>
    <row r="51" spans="1:7" ht="15.6">
      <c r="A51" s="6"/>
      <c r="B51" s="16"/>
      <c r="C51" s="16"/>
      <c r="D51" s="16"/>
      <c r="E51" s="16"/>
      <c r="F51" s="16"/>
      <c r="G51" s="13"/>
    </row>
    <row r="52" spans="1:7" ht="15.6">
      <c r="A52" s="6"/>
      <c r="B52" s="16"/>
      <c r="C52" s="16"/>
      <c r="D52" s="16"/>
      <c r="E52" s="70" t="s">
        <v>48</v>
      </c>
      <c r="F52" s="70"/>
      <c r="G52" s="71"/>
    </row>
    <row r="53" spans="1:7" ht="15.95" thickBot="1">
      <c r="A53" s="10"/>
      <c r="B53" s="11"/>
      <c r="C53" s="11"/>
      <c r="D53" s="11"/>
      <c r="E53" s="11"/>
      <c r="F53" s="11"/>
      <c r="G53" s="14"/>
    </row>
  </sheetData>
  <mergeCells count="63">
    <mergeCell ref="B17:C17"/>
    <mergeCell ref="D16:E16"/>
    <mergeCell ref="D17:E17"/>
    <mergeCell ref="F17:G17"/>
    <mergeCell ref="A8:C9"/>
    <mergeCell ref="A10:C10"/>
    <mergeCell ref="B11:C11"/>
    <mergeCell ref="B12:C12"/>
    <mergeCell ref="B13:C13"/>
    <mergeCell ref="B15:C15"/>
    <mergeCell ref="D10:G10"/>
    <mergeCell ref="D8:G9"/>
    <mergeCell ref="D12:D15"/>
    <mergeCell ref="E13:G13"/>
    <mergeCell ref="E15:G15"/>
    <mergeCell ref="F16:G16"/>
    <mergeCell ref="A46:G46"/>
    <mergeCell ref="A48:C48"/>
    <mergeCell ref="E48:G48"/>
    <mergeCell ref="E52:G52"/>
    <mergeCell ref="A12:A15"/>
    <mergeCell ref="F28:G28"/>
    <mergeCell ref="F27:G27"/>
    <mergeCell ref="F26:G26"/>
    <mergeCell ref="F25:G25"/>
    <mergeCell ref="F24:G24"/>
    <mergeCell ref="F23:G23"/>
    <mergeCell ref="A41:G41"/>
    <mergeCell ref="A42:G42"/>
    <mergeCell ref="A43:G43"/>
    <mergeCell ref="A44:G44"/>
    <mergeCell ref="A45:G45"/>
    <mergeCell ref="A36:E36"/>
    <mergeCell ref="F36:G36"/>
    <mergeCell ref="A37:G37"/>
    <mergeCell ref="A39:G39"/>
    <mergeCell ref="A40:G40"/>
    <mergeCell ref="A34:E34"/>
    <mergeCell ref="F34:G34"/>
    <mergeCell ref="A35:E35"/>
    <mergeCell ref="F35:G35"/>
    <mergeCell ref="A33:E33"/>
    <mergeCell ref="F33:G33"/>
    <mergeCell ref="A30:E30"/>
    <mergeCell ref="F30:G30"/>
    <mergeCell ref="A31:E31"/>
    <mergeCell ref="F31:G31"/>
    <mergeCell ref="A32:E32"/>
    <mergeCell ref="F32:G32"/>
    <mergeCell ref="F19:G19"/>
    <mergeCell ref="F20:G20"/>
    <mergeCell ref="F21:G21"/>
    <mergeCell ref="F22:G22"/>
    <mergeCell ref="F29:G29"/>
    <mergeCell ref="A1:G1"/>
    <mergeCell ref="A2:G2"/>
    <mergeCell ref="A5:G5"/>
    <mergeCell ref="A3:G4"/>
    <mergeCell ref="B16:C16"/>
    <mergeCell ref="E11:G11"/>
    <mergeCell ref="E12:G12"/>
    <mergeCell ref="A6:G6"/>
    <mergeCell ref="A7:G7"/>
  </mergeCells>
  <pageMargins left="0.75" right="0.75" top="1" bottom="1" header="0.511811023622047" footer="0.511811023622047"/>
  <pageSetup paperSize="9" scale="75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0"/>
  <sheetViews>
    <sheetView showGridLines="0" zoomScaleNormal="100" workbookViewId="0"/>
  </sheetViews>
  <sheetFormatPr defaultColWidth="8.5703125" defaultRowHeight="14.45"/>
  <cols>
    <col min="1" max="1" width="16" customWidth="1"/>
    <col min="2" max="2" width="24" customWidth="1"/>
    <col min="3" max="3" width="30" customWidth="1"/>
    <col min="4" max="4" width="16" customWidth="1"/>
    <col min="5" max="6" width="12" customWidth="1"/>
  </cols>
  <sheetData>
    <row r="1" spans="1:6">
      <c r="A1" s="1" t="s">
        <v>49</v>
      </c>
      <c r="B1" s="2" t="s">
        <v>50</v>
      </c>
      <c r="C1" s="2" t="str">
        <f>TRIM(IF(B3&lt;&gt;"",B3&amp;" Crore ","")&amp;IF(B5&lt;&gt;"",B5&amp;" Lakh ","")&amp;IF(B7&lt;&gt;"",B7&amp;" Thousand ","")&amp;IF(B9&lt;&gt;"",B9&amp;" Hundred ","")&amp;IF(B10&lt;&gt;"",B10,""))&amp;" Only"</f>
        <v>Ten Thousand Four Hundred Forty Seven Only</v>
      </c>
      <c r="D1" s="2" t="s">
        <v>51</v>
      </c>
      <c r="E1" t="s">
        <v>52</v>
      </c>
      <c r="F1" t="s">
        <v>53</v>
      </c>
    </row>
    <row r="2" spans="1:6">
      <c r="A2" s="3">
        <f>'Tax Invoice'!F36</f>
        <v>10447</v>
      </c>
      <c r="E2" t="s">
        <v>54</v>
      </c>
      <c r="F2" t="s">
        <v>55</v>
      </c>
    </row>
    <row r="3" spans="1:6">
      <c r="A3">
        <f>INT(A2/10000000)</f>
        <v>0</v>
      </c>
      <c r="B3" t="str">
        <f>IF(A3=0,"",IF(A3&lt;20,INDEX($E$1:$E$20,A3+1),TRIM(INDEX($F$1:$F$8,INT(A3/10)-1)&amp;IF(MOD(A3,10)&gt;0," "&amp;INDEX($E$1:$E$20,MOD(A3,10)+1),""))))</f>
        <v/>
      </c>
      <c r="C3" s="4" t="s">
        <v>56</v>
      </c>
      <c r="E3" t="s">
        <v>57</v>
      </c>
      <c r="F3" t="s">
        <v>58</v>
      </c>
    </row>
    <row r="4" spans="1:6">
      <c r="A4">
        <f>MOD(A2,10000000)</f>
        <v>10447</v>
      </c>
      <c r="E4" t="s">
        <v>59</v>
      </c>
      <c r="F4" t="s">
        <v>60</v>
      </c>
    </row>
    <row r="5" spans="1:6">
      <c r="A5">
        <f>INT(A4/100000)</f>
        <v>0</v>
      </c>
      <c r="B5" t="str">
        <f>IF(A5=0,"",IF(A5&lt;20,INDEX($E$1:$E$20,A5+1),TRIM(INDEX($F$1:$F$8,INT(A5/10)-1)&amp;IF(MOD(A5,10)&gt;0," "&amp;INDEX($E$1:$E$20,MOD(A5,10)+1),""))))</f>
        <v/>
      </c>
      <c r="C5" s="4" t="s">
        <v>61</v>
      </c>
      <c r="E5" t="s">
        <v>62</v>
      </c>
      <c r="F5" t="s">
        <v>63</v>
      </c>
    </row>
    <row r="6" spans="1:6">
      <c r="A6">
        <f>MOD(A4,100000)</f>
        <v>10447</v>
      </c>
      <c r="E6" t="s">
        <v>64</v>
      </c>
      <c r="F6" t="s">
        <v>65</v>
      </c>
    </row>
    <row r="7" spans="1:6">
      <c r="A7">
        <f>INT(A6/1000)</f>
        <v>10</v>
      </c>
      <c r="B7" t="str">
        <f>IF(A7=0,"",IF(A7&lt;20,INDEX($E$1:$E$20,A7+1),TRIM(INDEX($F$1:$F$8,INT(A7/10)-1)&amp;IF(MOD(A7,10)&gt;0," "&amp;INDEX($E$1:$E$20,MOD(A7,10)+1),""))))</f>
        <v>Ten</v>
      </c>
      <c r="C7" s="4" t="s">
        <v>66</v>
      </c>
      <c r="E7" t="s">
        <v>67</v>
      </c>
      <c r="F7" t="s">
        <v>68</v>
      </c>
    </row>
    <row r="8" spans="1:6">
      <c r="A8">
        <f>MOD(A6,1000)</f>
        <v>447</v>
      </c>
      <c r="E8" t="s">
        <v>69</v>
      </c>
      <c r="F8" t="s">
        <v>70</v>
      </c>
    </row>
    <row r="9" spans="1:6">
      <c r="A9">
        <f>INT(A8/100)</f>
        <v>4</v>
      </c>
      <c r="B9" t="str">
        <f>IF(A9=0,"",INDEX($E$1:$E$20,A9+1))</f>
        <v>Four</v>
      </c>
      <c r="C9" s="4" t="s">
        <v>71</v>
      </c>
      <c r="E9" t="s">
        <v>72</v>
      </c>
    </row>
    <row r="10" spans="1:6">
      <c r="A10">
        <f>MOD(A8,100)</f>
        <v>47</v>
      </c>
      <c r="B10" t="str">
        <f>IF(A10=0,"",IF(A10&lt;20,INDEX($E$1:$E$20,A10+1),TRIM(INDEX($F$1:$F$8,INT(A10/10)-1)&amp;IF(MOD(A10,10)&gt;0," "&amp;INDEX($E$1:$E$20,MOD(A10,10)+1),""))))</f>
        <v>Forty Seven</v>
      </c>
      <c r="C10" s="4" t="s">
        <v>73</v>
      </c>
      <c r="E10" t="s">
        <v>74</v>
      </c>
    </row>
    <row r="11" spans="1:6">
      <c r="E11" t="s">
        <v>75</v>
      </c>
    </row>
    <row r="12" spans="1:6">
      <c r="E12" t="s">
        <v>76</v>
      </c>
    </row>
    <row r="13" spans="1:6">
      <c r="E13" t="s">
        <v>77</v>
      </c>
    </row>
    <row r="14" spans="1:6">
      <c r="E14" t="s">
        <v>78</v>
      </c>
    </row>
    <row r="15" spans="1:6">
      <c r="E15" t="s">
        <v>79</v>
      </c>
    </row>
    <row r="16" spans="1:6">
      <c r="E16" t="s">
        <v>80</v>
      </c>
    </row>
    <row r="17" spans="5:5">
      <c r="E17" t="s">
        <v>81</v>
      </c>
    </row>
    <row r="18" spans="5:5">
      <c r="E18" t="s">
        <v>82</v>
      </c>
    </row>
    <row r="19" spans="5:5">
      <c r="E19" t="s">
        <v>83</v>
      </c>
    </row>
    <row r="20" spans="5:5">
      <c r="E20" t="s">
        <v>84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Guest User</cp:lastModifiedBy>
  <cp:revision>0</cp:revision>
  <dcterms:created xsi:type="dcterms:W3CDTF">2026-08-01T08:45:07Z</dcterms:created>
  <dcterms:modified xsi:type="dcterms:W3CDTF">2026-10-29T14:01:54Z</dcterms:modified>
  <cp:category/>
  <cp:contentStatus/>
</cp:coreProperties>
</file>